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рифы" sheetId="1" state="visible" r:id="rId3"/>
    <sheet name="Калькулятор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<sst xmlns="http://schemas.openxmlformats.org/spreadsheetml/2006/main" count="126" uniqueCount="93">
  <si>
    <t xml:space="preserve">BAHMAL HOME — Справочник тарифов логистики WB</t>
  </si>
  <si>
    <t xml:space="preserve">🔵 Вводишь ТОЛЬКО объём (колонка B) — Доставка, Возврат и тариф с запасом считаются автоматически</t>
  </si>
  <si>
    <t xml:space="preserve">Группа товара</t>
  </si>
  <si>
    <t xml:space="preserve">Объём, л
← вводишь</t>
  </si>
  <si>
    <t xml:space="preserve">Доставка, сум
(авто)</t>
  </si>
  <si>
    <t xml:space="preserve">Возврат, сум
(авто)</t>
  </si>
  <si>
    <t xml:space="preserve">С запасом +10%
(авто, идёт в расчёт)</t>
  </si>
  <si>
    <t xml:space="preserve">Примечание</t>
  </si>
  <si>
    <t xml:space="preserve">Салфетки/мелкие</t>
  </si>
  <si>
    <t xml:space="preserve">минимум портфеля</t>
  </si>
  <si>
    <t xml:space="preserve">Наволочки 50×70</t>
  </si>
  <si>
    <t xml:space="preserve">Наволочки 70×70</t>
  </si>
  <si>
    <t xml:space="preserve">основная группа</t>
  </si>
  <si>
    <t xml:space="preserve">Наволочки 70×70 доп</t>
  </si>
  <si>
    <t xml:space="preserve">Простыни 140×200</t>
  </si>
  <si>
    <t xml:space="preserve">Простыни 140 доп</t>
  </si>
  <si>
    <t xml:space="preserve">Простыни 160/180</t>
  </si>
  <si>
    <t xml:space="preserve">Простыни 180 доп</t>
  </si>
  <si>
    <t xml:space="preserve">Постельное (kids)</t>
  </si>
  <si>
    <t xml:space="preserve">Крашёное</t>
  </si>
  <si>
    <t xml:space="preserve">⚠ разброс по складам</t>
  </si>
  <si>
    <t xml:space="preserve">Постельное атлас</t>
  </si>
  <si>
    <t xml:space="preserve">максимум портфеля</t>
  </si>
  <si>
    <t xml:space="preserve">← напиши название нового товара</t>
  </si>
  <si>
    <t xml:space="preserve">⚙  Настройки</t>
  </si>
  <si>
    <t xml:space="preserve">Курс WB (1 руб = сум)</t>
  </si>
  <si>
    <t xml:space="preserve">сум</t>
  </si>
  <si>
    <t xml:space="preserve">% выкупа по умолчанию</t>
  </si>
  <si>
    <t xml:space="preserve">%</t>
  </si>
  <si>
    <t xml:space="preserve">КАК ДОБАВИТЬ НОВЫЙ ТОВАР:</t>
  </si>
  <si>
    <t xml:space="preserve">1. Найди пустую строку (16–30)</t>
  </si>
  <si>
    <t xml:space="preserve">2. Напиши название в колонке A</t>
  </si>
  <si>
    <t xml:space="preserve">3. Введи объём в литрах в колонку B (Длина × Ширина × Высота ÷ 1000)</t>
  </si>
  <si>
    <t xml:space="preserve">4. Доставка, возврат и тариф с запасом посчитаются сами — ничего больше не нужно</t>
  </si>
  <si>
    <t xml:space="preserve">⚠ Сортируй строки по объёму от меньшего к большему (иначе калькулятор возьмёт неверный тариф)</t>
  </si>
  <si>
    <t xml:space="preserve">Формула: до 1.5л = 1403+4600×л | от 1.5л = 4584+2068×л (погрешность ~4% от реального тарифа)</t>
  </si>
  <si>
    <t xml:space="preserve">BAHMAL HOME — Юнит-экономика WB (Узбекистан)</t>
  </si>
  <si>
    <t xml:space="preserve">🔵 Синий = ввод   Белый = авто   🟢 Зелёный = итог   🔴 Красный = НДС/возврат   Фиолетовый = хранение</t>
  </si>
  <si>
    <t xml:space="preserve">1. ТОВАР — ГАБАРИТЫ</t>
  </si>
  <si>
    <t xml:space="preserve">Длина, см</t>
  </si>
  <si>
    <t xml:space="preserve">см</t>
  </si>
  <si>
    <t xml:space="preserve">Ширина, см</t>
  </si>
  <si>
    <t xml:space="preserve">Высота, см</t>
  </si>
  <si>
    <t xml:space="preserve">Объём, л</t>
  </si>
  <si>
    <t xml:space="preserve">л</t>
  </si>
  <si>
    <t xml:space="preserve">2. СЕБЕСТОИМОСТЬ И ЦЕНА</t>
  </si>
  <si>
    <t xml:space="preserve">Себестоимость (закупка)</t>
  </si>
  <si>
    <t xml:space="preserve">Цена продажи</t>
  </si>
  <si>
    <t xml:space="preserve">СПП (если участвуешь в акции)</t>
  </si>
  <si>
    <t xml:space="preserve">Цена эффективная (с учётом СПП)</t>
  </si>
  <si>
    <t xml:space="preserve">3. ПАРАМЕТРЫ WB</t>
  </si>
  <si>
    <t xml:space="preserve">Комиссия WB (кВВ)</t>
  </si>
  <si>
    <t xml:space="preserve">Эквайринг</t>
  </si>
  <si>
    <t xml:space="preserve">Реклама (ДРР % от цены)</t>
  </si>
  <si>
    <t xml:space="preserve">% Выкупа</t>
  </si>
  <si>
    <t xml:space="preserve">По умолчанию из Тарифы!B19 = Тарифы!$B$19. Меняй здесь для конкретного товара.</t>
  </si>
  <si>
    <t xml:space="preserve">4. ЛОГИСТИКА (из реального отчёта WB, медианные тарифы)</t>
  </si>
  <si>
    <t xml:space="preserve">Тарифы берутся автоматически из листа «Тарифы» по объёму товара.</t>
  </si>
  <si>
    <t xml:space="preserve">→ Доставка (взвеш. 80/20, без запаса)</t>
  </si>
  <si>
    <t xml:space="preserve">→ Запас безопасности (+10% от тарифа)</t>
  </si>
  <si>
    <t xml:space="preserve">→ ДОСТАВКА итого (с запасом)</t>
  </si>
  <si>
    <t xml:space="preserve">→ Возврат (фиксированный ~7 200 сум)</t>
  </si>
  <si>
    <t xml:space="preserve">→ Логистика с учётом % выкупа</t>
  </si>
  <si>
    <t xml:space="preserve">5. ХРАНЕНИЕ НА СКЛАДЕ</t>
  </si>
  <si>
    <t xml:space="preserve">Тариф хранения</t>
  </si>
  <si>
    <t xml:space="preserve">сум/л/день</t>
  </si>
  <si>
    <t xml:space="preserve">Оборачиваемость (дней до продажи)</t>
  </si>
  <si>
    <t xml:space="preserve">дней</t>
  </si>
  <si>
    <t xml:space="preserve">→ Хранение в день / ед.</t>
  </si>
  <si>
    <t xml:space="preserve">сум/день</t>
  </si>
  <si>
    <t xml:space="preserve">→ Хранение за оборот (на 1 продажу)</t>
  </si>
  <si>
    <t xml:space="preserve">≤30 дн → небольшое, 30–60 дн → закладывай, &gt;60 дн → критично</t>
  </si>
  <si>
    <t xml:space="preserve">Платная приёмка (на 1 ед.)</t>
  </si>
  <si>
    <t xml:space="preserve">6. РАСЧЁТ ЮНИТ-ЭКОНОМИКИ (на 1 продажу)</t>
  </si>
  <si>
    <t xml:space="preserve">Комиссия WB</t>
  </si>
  <si>
    <t xml:space="preserve">Реклама (ДРР)</t>
  </si>
  <si>
    <t xml:space="preserve">Логистика (с выкупом + хранение + приёмка)</t>
  </si>
  <si>
    <t xml:space="preserve">К ПЕРЕЧИСЛЕНИЮ (сумма вывода)</t>
  </si>
  <si>
    <t xml:space="preserve">Ставка НДС</t>
  </si>
  <si>
    <t xml:space="preserve">НДС 12% (выделяется из суммы вывода × 12/112)</t>
  </si>
  <si>
    <t xml:space="preserve">НДС = к перечислению × 12 ÷ 112 (НДС уже внутри суммы)</t>
  </si>
  <si>
    <t xml:space="preserve">7. ИТОГИ</t>
  </si>
  <si>
    <t xml:space="preserve">После НДС (остаток)</t>
  </si>
  <si>
    <t xml:space="preserve">ЧИСТАЯ ПРИБЫЛЬ / ед.</t>
  </si>
  <si>
    <t xml:space="preserve">Маржа (от цены продажи)</t>
  </si>
  <si>
    <t xml:space="preserve">ROI (прибыль / себестоимость)</t>
  </si>
  <si>
    <t xml:space="preserve">8. РАСЧЁТ ПО ПАРТИИ</t>
  </si>
  <si>
    <t xml:space="preserve">Кол-во в партии</t>
  </si>
  <si>
    <t xml:space="preserve">шт.</t>
  </si>
  <si>
    <t xml:space="preserve">Вложения (закупка партии)</t>
  </si>
  <si>
    <t xml:space="preserve">Прибыль с партии</t>
  </si>
  <si>
    <t xml:space="preserve">НДС с партии (к уплате)</t>
  </si>
  <si>
    <t xml:space="preserve">СХЕМА: Цена → −Комиссия −Эквайринг −Реклама −Логистика(выкуп) −Хранение = К перечислению → −НДС(12/112) → −Себестоимость = Чистая прибыль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</si>
</sst>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"/>
    <numFmt numFmtId="167" formatCode="0%"/>
    <numFmt numFmtId="168" formatCode="0"/>
    <numFmt numFmtId="169" formatCode="0.0"/>
    <numFmt numFmtId="170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7F6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sz val="10"/>
      <color rgb="FF4527A0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b val="true"/>
      <sz val="11"/>
      <color rgb="FF4527A0"/>
      <name val="Arial"/>
      <family val="0"/>
      <charset val="1"/>
    </font>
    <font>
      <i val="true"/>
      <sz val="9"/>
      <color rgb="FF4527A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9"/>
      <color rgb="FF37562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527A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EDE7F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375623"/>
        <sz val="14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4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DE7F6"/>
      <rgbColor rgb="FFF2F2F2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4527A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.5" hidden="false" customHeight="true" outlineLevel="0" collapsed="false"/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.75" hidden="false" customHeight="true" outlineLevel="0" collapsed="false">
      <c r="A5" s="4" t="s">
        <v>8</v>
      </c>
      <c r="B5" s="5" t="n">
        <v>0.35</v>
      </c>
      <c r="C5" s="6" t="n">
        <f aca="false">IF(B5="","",IF(B5&lt;=1.5,ROUND(1403+4600*B5,0),ROUND(4584+2068*B5,0)))</f>
        <v>3013</v>
      </c>
      <c r="D5" s="7" t="n">
        <f aca="false">IF(B5="","",7200)</f>
        <v>7200</v>
      </c>
      <c r="E5" s="8" t="n">
        <f aca="false">IF(B5="","",ROUND(C5*1.1,0))</f>
        <v>3314</v>
      </c>
      <c r="F5" s="9" t="s">
        <v>9</v>
      </c>
    </row>
    <row r="6" customFormat="false" ht="15.75" hidden="false" customHeight="true" outlineLevel="0" collapsed="false">
      <c r="A6" s="10" t="s">
        <v>10</v>
      </c>
      <c r="B6" s="5" t="n">
        <v>0.54</v>
      </c>
      <c r="C6" s="11" t="n">
        <f aca="false">IF(B6="","",IF(B6&lt;=1.5,ROUND(1403+4600*B6,0),ROUND(4584+2068*B6,0)))</f>
        <v>3887</v>
      </c>
      <c r="D6" s="7" t="n">
        <f aca="false">IF(B6="","",7200)</f>
        <v>7200</v>
      </c>
      <c r="E6" s="8" t="n">
        <f aca="false">IF(B6="","",ROUND(C6*1.1,0))</f>
        <v>4276</v>
      </c>
      <c r="F6" s="12"/>
    </row>
    <row r="7" customFormat="false" ht="15.75" hidden="false" customHeight="true" outlineLevel="0" collapsed="false">
      <c r="A7" s="4" t="s">
        <v>11</v>
      </c>
      <c r="B7" s="5" t="n">
        <v>0.81</v>
      </c>
      <c r="C7" s="6" t="n">
        <f aca="false">IF(B7="","",IF(B7&lt;=1.5,ROUND(1403+4600*B7,0),ROUND(4584+2068*B7,0)))</f>
        <v>5129</v>
      </c>
      <c r="D7" s="7" t="n">
        <f aca="false">IF(B7="","",7200)</f>
        <v>7200</v>
      </c>
      <c r="E7" s="8" t="n">
        <f aca="false">IF(B7="","",ROUND(C7*1.1,0))</f>
        <v>5642</v>
      </c>
      <c r="F7" s="9" t="s">
        <v>12</v>
      </c>
    </row>
    <row r="8" customFormat="false" ht="15.75" hidden="false" customHeight="true" outlineLevel="0" collapsed="false">
      <c r="A8" s="10" t="s">
        <v>13</v>
      </c>
      <c r="B8" s="5" t="n">
        <v>1.16</v>
      </c>
      <c r="C8" s="11" t="n">
        <f aca="false">IF(B8="","",IF(B8&lt;=1.5,ROUND(1403+4600*B8,0),ROUND(4584+2068*B8,0)))</f>
        <v>6739</v>
      </c>
      <c r="D8" s="7" t="n">
        <f aca="false">IF(B8="","",7200)</f>
        <v>7200</v>
      </c>
      <c r="E8" s="8" t="n">
        <f aca="false">IF(B8="","",ROUND(C8*1.1,0))</f>
        <v>7413</v>
      </c>
      <c r="F8" s="12"/>
    </row>
    <row r="9" customFormat="false" ht="15.75" hidden="false" customHeight="true" outlineLevel="0" collapsed="false">
      <c r="A9" s="4" t="s">
        <v>14</v>
      </c>
      <c r="B9" s="5" t="n">
        <v>2.28</v>
      </c>
      <c r="C9" s="6" t="n">
        <f aca="false">IF(B9="","",IF(B9&lt;=1.5,ROUND(1403+4600*B9,0),ROUND(4584+2068*B9,0)))</f>
        <v>9299</v>
      </c>
      <c r="D9" s="7" t="n">
        <f aca="false">IF(B9="","",7200)</f>
        <v>7200</v>
      </c>
      <c r="E9" s="8" t="n">
        <f aca="false">IF(B9="","",ROUND(C9*1.1,0))</f>
        <v>10229</v>
      </c>
      <c r="F9" s="9"/>
    </row>
    <row r="10" customFormat="false" ht="15.75" hidden="false" customHeight="true" outlineLevel="0" collapsed="false">
      <c r="A10" s="10" t="s">
        <v>15</v>
      </c>
      <c r="B10" s="5" t="n">
        <v>2.34</v>
      </c>
      <c r="C10" s="11" t="n">
        <f aca="false">IF(B10="","",IF(B10&lt;=1.5,ROUND(1403+4600*B10,0),ROUND(4584+2068*B10,0)))</f>
        <v>9423</v>
      </c>
      <c r="D10" s="7" t="n">
        <f aca="false">IF(B10="","",7200)</f>
        <v>7200</v>
      </c>
      <c r="E10" s="8" t="n">
        <f aca="false">IF(B10="","",ROUND(C10*1.1,0))</f>
        <v>10365</v>
      </c>
      <c r="F10" s="12"/>
    </row>
    <row r="11" customFormat="false" ht="15.75" hidden="false" customHeight="true" outlineLevel="0" collapsed="false">
      <c r="A11" s="4" t="s">
        <v>16</v>
      </c>
      <c r="B11" s="5" t="n">
        <v>3.24</v>
      </c>
      <c r="C11" s="6" t="n">
        <f aca="false">IF(B11="","",IF(B11&lt;=1.5,ROUND(1403+4600*B11,0),ROUND(4584+2068*B11,0)))</f>
        <v>11284</v>
      </c>
      <c r="D11" s="7" t="n">
        <f aca="false">IF(B11="","",7200)</f>
        <v>7200</v>
      </c>
      <c r="E11" s="8" t="n">
        <f aca="false">IF(B11="","",ROUND(C11*1.1,0))</f>
        <v>12412</v>
      </c>
      <c r="F11" s="9" t="s">
        <v>12</v>
      </c>
    </row>
    <row r="12" customFormat="false" ht="15.75" hidden="false" customHeight="true" outlineLevel="0" collapsed="false">
      <c r="A12" s="10" t="s">
        <v>17</v>
      </c>
      <c r="B12" s="5" t="n">
        <v>3.36</v>
      </c>
      <c r="C12" s="11" t="n">
        <f aca="false">IF(B12="","",IF(B12&lt;=1.5,ROUND(1403+4600*B12,0),ROUND(4584+2068*B12,0)))</f>
        <v>11532</v>
      </c>
      <c r="D12" s="7" t="n">
        <f aca="false">IF(B12="","",7200)</f>
        <v>7200</v>
      </c>
      <c r="E12" s="8" t="n">
        <f aca="false">IF(B12="","",ROUND(C12*1.1,0))</f>
        <v>12685</v>
      </c>
      <c r="F12" s="12"/>
    </row>
    <row r="13" customFormat="false" ht="15.75" hidden="false" customHeight="true" outlineLevel="0" collapsed="false">
      <c r="A13" s="4" t="s">
        <v>18</v>
      </c>
      <c r="B13" s="5" t="n">
        <v>4.68</v>
      </c>
      <c r="C13" s="6" t="n">
        <f aca="false">IF(B13="","",IF(B13&lt;=1.5,ROUND(1403+4600*B13,0),ROUND(4584+2068*B13,0)))</f>
        <v>14262</v>
      </c>
      <c r="D13" s="7" t="n">
        <f aca="false">IF(B13="","",7200)</f>
        <v>7200</v>
      </c>
      <c r="E13" s="8" t="n">
        <f aca="false">IF(B13="","",ROUND(C13*1.1,0))</f>
        <v>15688</v>
      </c>
      <c r="F13" s="9"/>
    </row>
    <row r="14" customFormat="false" ht="15.75" hidden="false" customHeight="true" outlineLevel="0" collapsed="false">
      <c r="A14" s="10" t="s">
        <v>19</v>
      </c>
      <c r="B14" s="5" t="n">
        <v>5.58</v>
      </c>
      <c r="C14" s="11" t="n">
        <f aca="false">IF(B14="","",IF(B14&lt;=1.5,ROUND(1403+4600*B14,0),ROUND(4584+2068*B14,0)))</f>
        <v>16123</v>
      </c>
      <c r="D14" s="7" t="n">
        <f aca="false">IF(B14="","",7200)</f>
        <v>7200</v>
      </c>
      <c r="E14" s="8" t="n">
        <f aca="false">IF(B14="","",ROUND(C14*1.1,0))</f>
        <v>17735</v>
      </c>
      <c r="F14" s="12" t="s">
        <v>20</v>
      </c>
    </row>
    <row r="15" customFormat="false" ht="15.75" hidden="false" customHeight="true" outlineLevel="0" collapsed="false">
      <c r="A15" s="4" t="s">
        <v>21</v>
      </c>
      <c r="B15" s="5" t="n">
        <v>7.77</v>
      </c>
      <c r="C15" s="6" t="n">
        <f aca="false">IF(B15="","",IF(B15&lt;=1.5,ROUND(1403+4600*B15,0),ROUND(4584+2068*B15,0)))</f>
        <v>20652</v>
      </c>
      <c r="D15" s="7" t="n">
        <f aca="false">IF(B15="","",7200)</f>
        <v>7200</v>
      </c>
      <c r="E15" s="8" t="n">
        <f aca="false">IF(B15="","",ROUND(C15*1.1,0))</f>
        <v>22717</v>
      </c>
      <c r="F15" s="9" t="s">
        <v>22</v>
      </c>
    </row>
    <row r="16" customFormat="false" ht="15.75" hidden="false" customHeight="true" outlineLevel="0" collapsed="false">
      <c r="A16" s="13" t="s">
        <v>23</v>
      </c>
      <c r="B16" s="14"/>
      <c r="C16" s="15" t="str">
        <f aca="false">IF(B16="","",IF(B16&lt;=1.5,ROUND(1403+4600*B16,0),ROUND(4584+2068*B16,0)))</f>
        <v/>
      </c>
      <c r="D16" s="16" t="str">
        <f aca="false">IF(B16="","",7200)</f>
        <v/>
      </c>
      <c r="E16" s="17" t="str">
        <f aca="false">IF(B16="","",ROUND(C16*1.1,0))</f>
        <v/>
      </c>
      <c r="F16" s="18"/>
    </row>
    <row r="17" customFormat="false" ht="15.75" hidden="false" customHeight="true" outlineLevel="0" collapsed="false">
      <c r="A17" s="19"/>
      <c r="B17" s="5"/>
      <c r="C17" s="11" t="str">
        <f aca="false">IF(B17="","",IF(B17&lt;=1.5,ROUND(1403+4600*B17,0),ROUND(4584+2068*B17,0)))</f>
        <v/>
      </c>
      <c r="D17" s="7" t="str">
        <f aca="false">IF(B17="","",7200)</f>
        <v/>
      </c>
      <c r="E17" s="8" t="str">
        <f aca="false">IF(B17="","",ROUND(C17*1.1,0))</f>
        <v/>
      </c>
      <c r="F17" s="12"/>
    </row>
    <row r="18" customFormat="false" ht="15.75" hidden="false" customHeight="true" outlineLevel="0" collapsed="false">
      <c r="A18" s="20"/>
      <c r="B18" s="5"/>
      <c r="C18" s="6" t="str">
        <f aca="false">IF(B18="","",IF(B18&lt;=1.5,ROUND(1403+4600*B18,0),ROUND(4584+2068*B18,0)))</f>
        <v/>
      </c>
      <c r="D18" s="7" t="str">
        <f aca="false">IF(B18="","",7200)</f>
        <v/>
      </c>
      <c r="E18" s="8" t="str">
        <f aca="false">IF(B18="","",ROUND(C18*1.1,0))</f>
        <v/>
      </c>
      <c r="F18" s="9"/>
    </row>
    <row r="19" customFormat="false" ht="15.75" hidden="false" customHeight="true" outlineLevel="0" collapsed="false">
      <c r="A19" s="19"/>
      <c r="B19" s="5"/>
      <c r="C19" s="11" t="str">
        <f aca="false">IF(B19="","",IF(B19&lt;=1.5,ROUND(1403+4600*B19,0),ROUND(4584+2068*B19,0)))</f>
        <v/>
      </c>
      <c r="D19" s="7" t="str">
        <f aca="false">IF(B19="","",7200)</f>
        <v/>
      </c>
      <c r="E19" s="8" t="str">
        <f aca="false">IF(B19="","",ROUND(C19*1.1,0))</f>
        <v/>
      </c>
      <c r="F19" s="12"/>
    </row>
    <row r="20" customFormat="false" ht="15.75" hidden="false" customHeight="true" outlineLevel="0" collapsed="false">
      <c r="A20" s="20"/>
      <c r="B20" s="5"/>
      <c r="C20" s="6" t="str">
        <f aca="false">IF(B20="","",IF(B20&lt;=1.5,ROUND(1403+4600*B20,0),ROUND(4584+2068*B20,0)))</f>
        <v/>
      </c>
      <c r="D20" s="7" t="str">
        <f aca="false">IF(B20="","",7200)</f>
        <v/>
      </c>
      <c r="E20" s="8" t="str">
        <f aca="false">IF(B20="","",ROUND(C20*1.1,0))</f>
        <v/>
      </c>
      <c r="F20" s="9"/>
    </row>
    <row r="21" customFormat="false" ht="15.75" hidden="false" customHeight="true" outlineLevel="0" collapsed="false">
      <c r="A21" s="19"/>
      <c r="B21" s="5"/>
      <c r="C21" s="11" t="str">
        <f aca="false">IF(B21="","",IF(B21&lt;=1.5,ROUND(1403+4600*B21,0),ROUND(4584+2068*B21,0)))</f>
        <v/>
      </c>
      <c r="D21" s="7" t="str">
        <f aca="false">IF(B21="","",7200)</f>
        <v/>
      </c>
      <c r="E21" s="8" t="str">
        <f aca="false">IF(B21="","",ROUND(C21*1.1,0))</f>
        <v/>
      </c>
      <c r="F21" s="12"/>
    </row>
    <row r="22" customFormat="false" ht="15.75" hidden="false" customHeight="true" outlineLevel="0" collapsed="false">
      <c r="A22" s="20"/>
      <c r="B22" s="5"/>
      <c r="C22" s="6" t="str">
        <f aca="false">IF(B22="","",IF(B22&lt;=1.5,ROUND(1403+4600*B22,0),ROUND(4584+2068*B22,0)))</f>
        <v/>
      </c>
      <c r="D22" s="7" t="str">
        <f aca="false">IF(B22="","",7200)</f>
        <v/>
      </c>
      <c r="E22" s="8" t="str">
        <f aca="false">IF(B22="","",ROUND(C22*1.1,0))</f>
        <v/>
      </c>
      <c r="F22" s="9"/>
    </row>
    <row r="23" customFormat="false" ht="15.75" hidden="false" customHeight="true" outlineLevel="0" collapsed="false">
      <c r="A23" s="19"/>
      <c r="B23" s="5"/>
      <c r="C23" s="11" t="str">
        <f aca="false">IF(B23="","",IF(B23&lt;=1.5,ROUND(1403+4600*B23,0),ROUND(4584+2068*B23,0)))</f>
        <v/>
      </c>
      <c r="D23" s="7" t="str">
        <f aca="false">IF(B23="","",7200)</f>
        <v/>
      </c>
      <c r="E23" s="8" t="str">
        <f aca="false">IF(B23="","",ROUND(C23*1.1,0))</f>
        <v/>
      </c>
      <c r="F23" s="12"/>
    </row>
    <row r="24" customFormat="false" ht="15.75" hidden="false" customHeight="true" outlineLevel="0" collapsed="false">
      <c r="A24" s="20"/>
      <c r="B24" s="5"/>
      <c r="C24" s="6" t="str">
        <f aca="false">IF(B24="","",IF(B24&lt;=1.5,ROUND(1403+4600*B24,0),ROUND(4584+2068*B24,0)))</f>
        <v/>
      </c>
      <c r="D24" s="7" t="str">
        <f aca="false">IF(B24="","",7200)</f>
        <v/>
      </c>
      <c r="E24" s="8" t="str">
        <f aca="false">IF(B24="","",ROUND(C24*1.1,0))</f>
        <v/>
      </c>
      <c r="F24" s="9"/>
    </row>
    <row r="25" customFormat="false" ht="15.75" hidden="false" customHeight="true" outlineLevel="0" collapsed="false">
      <c r="A25" s="19"/>
      <c r="B25" s="5"/>
      <c r="C25" s="11" t="str">
        <f aca="false">IF(B25="","",IF(B25&lt;=1.5,ROUND(1403+4600*B25,0),ROUND(4584+2068*B25,0)))</f>
        <v/>
      </c>
      <c r="D25" s="7" t="str">
        <f aca="false">IF(B25="","",7200)</f>
        <v/>
      </c>
      <c r="E25" s="8" t="str">
        <f aca="false">IF(B25="","",ROUND(C25*1.1,0))</f>
        <v/>
      </c>
      <c r="F25" s="12"/>
    </row>
    <row r="26" customFormat="false" ht="15.75" hidden="false" customHeight="true" outlineLevel="0" collapsed="false">
      <c r="A26" s="20"/>
      <c r="B26" s="5"/>
      <c r="C26" s="6" t="str">
        <f aca="false">IF(B26="","",IF(B26&lt;=1.5,ROUND(1403+4600*B26,0),ROUND(4584+2068*B26,0)))</f>
        <v/>
      </c>
      <c r="D26" s="7" t="str">
        <f aca="false">IF(B26="","",7200)</f>
        <v/>
      </c>
      <c r="E26" s="8" t="str">
        <f aca="false">IF(B26="","",ROUND(C26*1.1,0))</f>
        <v/>
      </c>
      <c r="F26" s="9"/>
    </row>
    <row r="27" customFormat="false" ht="15.75" hidden="false" customHeight="true" outlineLevel="0" collapsed="false">
      <c r="A27" s="19"/>
      <c r="B27" s="5"/>
      <c r="C27" s="11" t="str">
        <f aca="false">IF(B27="","",IF(B27&lt;=1.5,ROUND(1403+4600*B27,0),ROUND(4584+2068*B27,0)))</f>
        <v/>
      </c>
      <c r="D27" s="7" t="str">
        <f aca="false">IF(B27="","",7200)</f>
        <v/>
      </c>
      <c r="E27" s="8" t="str">
        <f aca="false">IF(B27="","",ROUND(C27*1.1,0))</f>
        <v/>
      </c>
      <c r="F27" s="12"/>
    </row>
    <row r="28" customFormat="false" ht="15.75" hidden="false" customHeight="true" outlineLevel="0" collapsed="false">
      <c r="A28" s="20"/>
      <c r="B28" s="5"/>
      <c r="C28" s="6" t="str">
        <f aca="false">IF(B28="","",IF(B28&lt;=1.5,ROUND(1403+4600*B28,0),ROUND(4584+2068*B28,0)))</f>
        <v/>
      </c>
      <c r="D28" s="7" t="str">
        <f aca="false">IF(B28="","",7200)</f>
        <v/>
      </c>
      <c r="E28" s="8" t="str">
        <f aca="false">IF(B28="","",ROUND(C28*1.1,0))</f>
        <v/>
      </c>
      <c r="F28" s="9"/>
    </row>
    <row r="29" customFormat="false" ht="15.75" hidden="false" customHeight="true" outlineLevel="0" collapsed="false">
      <c r="A29" s="19"/>
      <c r="B29" s="5"/>
      <c r="C29" s="11" t="str">
        <f aca="false">IF(B29="","",IF(B29&lt;=1.5,ROUND(1403+4600*B29,0),ROUND(4584+2068*B29,0)))</f>
        <v/>
      </c>
      <c r="D29" s="7" t="str">
        <f aca="false">IF(B29="","",7200)</f>
        <v/>
      </c>
      <c r="E29" s="8" t="str">
        <f aca="false">IF(B29="","",ROUND(C29*1.1,0))</f>
        <v/>
      </c>
      <c r="F29" s="12"/>
    </row>
    <row r="30" customFormat="false" ht="15.75" hidden="false" customHeight="true" outlineLevel="0" collapsed="false">
      <c r="A30" s="20"/>
      <c r="B30" s="5"/>
      <c r="C30" s="6" t="str">
        <f aca="false">IF(B30="","",IF(B30&lt;=1.5,ROUND(1403+4600*B30,0),ROUND(4584+2068*B30,0)))</f>
        <v/>
      </c>
      <c r="D30" s="7" t="str">
        <f aca="false">IF(B30="","",7200)</f>
        <v/>
      </c>
      <c r="E30" s="8" t="str">
        <f aca="false">IF(B30="","",ROUND(C30*1.1,0))</f>
        <v/>
      </c>
      <c r="F30" s="9"/>
    </row>
    <row r="32" customFormat="false" ht="4.5" hidden="false" customHeight="true" outlineLevel="0" collapsed="false"/>
    <row r="33" customFormat="false" ht="15.75" hidden="false" customHeight="true" outlineLevel="0" collapsed="false">
      <c r="A33" s="21" t="s">
        <v>24</v>
      </c>
      <c r="B33" s="21"/>
      <c r="C33" s="21"/>
      <c r="D33" s="21"/>
      <c r="E33" s="21"/>
      <c r="F33" s="21"/>
    </row>
    <row r="34" customFormat="false" ht="15" hidden="false" customHeight="true" outlineLevel="0" collapsed="false">
      <c r="A34" s="10" t="s">
        <v>25</v>
      </c>
      <c r="B34" s="22" t="n">
        <v>168</v>
      </c>
      <c r="C34" s="9" t="s">
        <v>26</v>
      </c>
      <c r="D34" s="23"/>
      <c r="E34" s="23"/>
      <c r="F34" s="23"/>
    </row>
    <row r="35" customFormat="false" ht="15" hidden="false" customHeight="true" outlineLevel="0" collapsed="false">
      <c r="A35" s="10" t="s">
        <v>27</v>
      </c>
      <c r="B35" s="24" t="n">
        <v>0.87</v>
      </c>
      <c r="C35" s="9" t="s">
        <v>28</v>
      </c>
      <c r="D35" s="23"/>
      <c r="E35" s="23"/>
      <c r="F35" s="23"/>
    </row>
    <row r="37" customFormat="false" ht="15.75" hidden="false" customHeight="true" outlineLevel="0" collapsed="false">
      <c r="A37" s="25" t="s">
        <v>29</v>
      </c>
      <c r="B37" s="25"/>
      <c r="C37" s="25"/>
      <c r="D37" s="25"/>
      <c r="E37" s="25"/>
      <c r="F37" s="25"/>
    </row>
    <row r="38" customFormat="false" ht="13.5" hidden="false" customHeight="true" outlineLevel="0" collapsed="false">
      <c r="A38" s="26" t="s">
        <v>30</v>
      </c>
      <c r="B38" s="26"/>
      <c r="C38" s="26"/>
      <c r="D38" s="26"/>
      <c r="E38" s="26"/>
      <c r="F38" s="26"/>
    </row>
    <row r="39" customFormat="false" ht="13.5" hidden="false" customHeight="true" outlineLevel="0" collapsed="false">
      <c r="A39" s="26" t="s">
        <v>31</v>
      </c>
      <c r="B39" s="26"/>
      <c r="C39" s="26"/>
      <c r="D39" s="26"/>
      <c r="E39" s="26"/>
      <c r="F39" s="26"/>
    </row>
    <row r="40" customFormat="false" ht="13.5" hidden="false" customHeight="true" outlineLevel="0" collapsed="false">
      <c r="A40" s="26" t="s">
        <v>32</v>
      </c>
      <c r="B40" s="26"/>
      <c r="C40" s="26"/>
      <c r="D40" s="26"/>
      <c r="E40" s="26"/>
      <c r="F40" s="26"/>
    </row>
    <row r="41" customFormat="false" ht="13.5" hidden="false" customHeight="true" outlineLevel="0" collapsed="false">
      <c r="A41" s="26" t="s">
        <v>33</v>
      </c>
      <c r="B41" s="26"/>
      <c r="C41" s="26"/>
      <c r="D41" s="26"/>
      <c r="E41" s="26"/>
      <c r="F41" s="26"/>
    </row>
    <row r="42" customFormat="false" ht="13.5" hidden="false" customHeight="true" outlineLevel="0" collapsed="false">
      <c r="A42" s="2" t="s">
        <v>34</v>
      </c>
      <c r="B42" s="2"/>
      <c r="C42" s="2"/>
      <c r="D42" s="2"/>
      <c r="E42" s="2"/>
      <c r="F42" s="2"/>
    </row>
    <row r="43" customFormat="false" ht="13.5" hidden="false" customHeight="true" outlineLevel="0" collapsed="false">
      <c r="A43" s="26" t="s">
        <v>35</v>
      </c>
      <c r="B43" s="26"/>
      <c r="C43" s="26"/>
      <c r="D43" s="26"/>
      <c r="E43" s="26"/>
      <c r="F43" s="26"/>
    </row>
  </sheetData>
  <mergeCells count="10">
    <mergeCell ref="A1:F1"/>
    <mergeCell ref="A2:F2"/>
    <mergeCell ref="A33:F33"/>
    <mergeCell ref="A37:F37"/>
    <mergeCell ref="A38:F38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7" width="38"/>
    <col collapsed="false" customWidth="true" hidden="false" outlineLevel="0" max="2" min="2" style="27" width="3"/>
    <col collapsed="false" customWidth="true" hidden="false" outlineLevel="0" max="3" min="3" style="27" width="20"/>
    <col collapsed="false" customWidth="true" hidden="false" outlineLevel="0" max="4" min="4" style="27" width="12"/>
  </cols>
  <sheetData>
    <row r="1" customFormat="false" ht="27.75" hidden="false" customHeight="true" outlineLevel="0" collapsed="false">
      <c r="A1" s="28" t="s">
        <v>36</v>
      </c>
      <c r="B1" s="28"/>
      <c r="C1" s="28"/>
      <c r="D1" s="28"/>
    </row>
    <row r="2" customFormat="false" ht="13.5" hidden="false" customHeight="true" outlineLevel="0" collapsed="false">
      <c r="A2" s="29" t="s">
        <v>37</v>
      </c>
      <c r="B2" s="29"/>
      <c r="C2" s="29"/>
      <c r="D2" s="29"/>
    </row>
    <row r="3" customFormat="false" ht="16.5" hidden="false" customHeight="true" outlineLevel="0" collapsed="false">
      <c r="A3" s="21" t="s">
        <v>38</v>
      </c>
      <c r="B3" s="21"/>
      <c r="C3" s="21"/>
      <c r="D3" s="21"/>
    </row>
    <row r="4" customFormat="false" ht="15.75" hidden="false" customHeight="true" outlineLevel="0" collapsed="false">
      <c r="A4" s="10" t="s">
        <v>39</v>
      </c>
      <c r="C4" s="30" t="n">
        <v>50</v>
      </c>
      <c r="D4" s="9" t="s">
        <v>40</v>
      </c>
    </row>
    <row r="5" customFormat="false" ht="15.75" hidden="false" customHeight="true" outlineLevel="0" collapsed="false">
      <c r="A5" s="10" t="s">
        <v>41</v>
      </c>
      <c r="C5" s="30" t="n">
        <v>40</v>
      </c>
      <c r="D5" s="9" t="s">
        <v>40</v>
      </c>
    </row>
    <row r="6" customFormat="false" ht="15.75" hidden="false" customHeight="true" outlineLevel="0" collapsed="false">
      <c r="A6" s="10" t="s">
        <v>42</v>
      </c>
      <c r="C6" s="31" t="n">
        <v>16</v>
      </c>
      <c r="D6" s="9" t="s">
        <v>40</v>
      </c>
    </row>
    <row r="7" customFormat="false" ht="15.75" hidden="false" customHeight="true" outlineLevel="0" collapsed="false">
      <c r="A7" s="32" t="s">
        <v>43</v>
      </c>
      <c r="C7" s="33" t="n">
        <f aca="false">ROUND(C4*C5*C6/1000,2)</f>
        <v>32</v>
      </c>
      <c r="D7" s="34" t="s">
        <v>44</v>
      </c>
    </row>
    <row r="8" customFormat="false" ht="3.75" hidden="false" customHeight="true" outlineLevel="0" collapsed="false">
      <c r="A8" s="35"/>
      <c r="B8" s="35"/>
      <c r="C8" s="35"/>
      <c r="D8" s="35"/>
    </row>
    <row r="9" customFormat="false" ht="16.5" hidden="false" customHeight="true" outlineLevel="0" collapsed="false">
      <c r="A9" s="21" t="s">
        <v>45</v>
      </c>
      <c r="B9" s="21"/>
      <c r="C9" s="21"/>
      <c r="D9" s="21"/>
    </row>
    <row r="10" customFormat="false" ht="15.75" hidden="false" customHeight="true" outlineLevel="0" collapsed="false">
      <c r="A10" s="10" t="s">
        <v>46</v>
      </c>
      <c r="C10" s="22" t="n">
        <v>97300</v>
      </c>
      <c r="D10" s="9" t="s">
        <v>26</v>
      </c>
    </row>
    <row r="11" customFormat="false" ht="15.75" hidden="false" customHeight="true" outlineLevel="0" collapsed="false">
      <c r="A11" s="10" t="s">
        <v>47</v>
      </c>
      <c r="C11" s="22" t="n">
        <v>860000</v>
      </c>
      <c r="D11" s="9" t="s">
        <v>26</v>
      </c>
    </row>
    <row r="12" customFormat="false" ht="15.75" hidden="false" customHeight="true" outlineLevel="0" collapsed="false">
      <c r="A12" s="10" t="s">
        <v>48</v>
      </c>
      <c r="C12" s="24" t="n">
        <v>0</v>
      </c>
      <c r="D12" s="9" t="s">
        <v>28</v>
      </c>
    </row>
    <row r="13" customFormat="false" ht="15.75" hidden="false" customHeight="true" outlineLevel="0" collapsed="false">
      <c r="A13" s="10" t="s">
        <v>49</v>
      </c>
      <c r="C13" s="6" t="n">
        <f aca="false">ROUND(C11*(1-C12),0)</f>
        <v>860000</v>
      </c>
      <c r="D13" s="9" t="s">
        <v>26</v>
      </c>
    </row>
    <row r="14" customFormat="false" ht="3.75" hidden="false" customHeight="true" outlineLevel="0" collapsed="false">
      <c r="A14" s="35"/>
      <c r="B14" s="35"/>
      <c r="C14" s="35"/>
      <c r="D14" s="35"/>
    </row>
    <row r="15" customFormat="false" ht="16.5" hidden="false" customHeight="true" outlineLevel="0" collapsed="false">
      <c r="A15" s="21" t="s">
        <v>50</v>
      </c>
      <c r="B15" s="21"/>
      <c r="C15" s="21"/>
      <c r="D15" s="21"/>
    </row>
    <row r="16" customFormat="false" ht="15.75" hidden="false" customHeight="true" outlineLevel="0" collapsed="false">
      <c r="A16" s="10" t="s">
        <v>51</v>
      </c>
      <c r="C16" s="36" t="n">
        <v>0.21</v>
      </c>
      <c r="D16" s="9" t="s">
        <v>28</v>
      </c>
    </row>
    <row r="17" customFormat="false" ht="15.75" hidden="false" customHeight="true" outlineLevel="0" collapsed="false">
      <c r="A17" s="10" t="s">
        <v>52</v>
      </c>
      <c r="C17" s="36" t="n">
        <v>0.03</v>
      </c>
      <c r="D17" s="9" t="s">
        <v>28</v>
      </c>
    </row>
    <row r="18" customFormat="false" ht="15.75" hidden="false" customHeight="true" outlineLevel="0" collapsed="false">
      <c r="A18" s="10" t="s">
        <v>53</v>
      </c>
      <c r="C18" s="24" t="n">
        <v>0.08</v>
      </c>
      <c r="D18" s="9" t="s">
        <v>28</v>
      </c>
    </row>
    <row r="19" customFormat="false" ht="15.75" hidden="false" customHeight="true" outlineLevel="0" collapsed="false">
      <c r="A19" s="10" t="s">
        <v>54</v>
      </c>
      <c r="C19" s="24" t="n">
        <v>0.87</v>
      </c>
      <c r="D19" s="9" t="s">
        <v>28</v>
      </c>
    </row>
    <row r="20" customFormat="false" ht="12.75" hidden="false" customHeight="true" outlineLevel="0" collapsed="false">
      <c r="A20" s="37" t="s">
        <v>55</v>
      </c>
      <c r="B20" s="37"/>
      <c r="C20" s="37"/>
      <c r="D20" s="37"/>
    </row>
    <row r="21" customFormat="false" ht="3.75" hidden="false" customHeight="true" outlineLevel="0" collapsed="false">
      <c r="A21" s="35"/>
      <c r="B21" s="35"/>
      <c r="C21" s="35"/>
      <c r="D21" s="35"/>
    </row>
    <row r="22" customFormat="false" ht="16.5" hidden="false" customHeight="true" outlineLevel="0" collapsed="false">
      <c r="A22" s="21" t="s">
        <v>56</v>
      </c>
      <c r="B22" s="21"/>
      <c r="C22" s="21"/>
      <c r="D22" s="21"/>
    </row>
    <row r="23" customFormat="false" ht="12.75" hidden="false" customHeight="true" outlineLevel="0" collapsed="false">
      <c r="A23" s="37" t="s">
        <v>57</v>
      </c>
      <c r="B23" s="37"/>
      <c r="C23" s="37"/>
      <c r="D23" s="37"/>
    </row>
    <row r="24" customFormat="false" ht="15.75" hidden="false" customHeight="true" outlineLevel="0" collapsed="false">
      <c r="A24" s="10" t="s">
        <v>58</v>
      </c>
      <c r="C24" s="6" t="n">
        <f aca="false">IFERROR(INDEX(Тарифы!$E$5:$E$30,MATCH(C7,Тарифы!$B$5:$B$30,1)),INDEX(Тарифы!$E$5:$E$30,1))</f>
        <v>22717</v>
      </c>
      <c r="D24" s="9" t="s">
        <v>26</v>
      </c>
    </row>
    <row r="25" customFormat="false" ht="15.75" hidden="false" customHeight="true" outlineLevel="0" collapsed="false">
      <c r="A25" s="10" t="s">
        <v>59</v>
      </c>
      <c r="C25" s="6" t="n">
        <f aca="false">ROUND(C24*Тарифы!$B$18,0)</f>
        <v>0</v>
      </c>
      <c r="D25" s="9" t="s">
        <v>26</v>
      </c>
    </row>
    <row r="26" customFormat="false" ht="15.75" hidden="false" customHeight="true" outlineLevel="0" collapsed="false">
      <c r="A26" s="38" t="s">
        <v>60</v>
      </c>
      <c r="C26" s="39" t="n">
        <f aca="false">C24+C25</f>
        <v>22717</v>
      </c>
      <c r="D26" s="40" t="s">
        <v>26</v>
      </c>
    </row>
    <row r="27" customFormat="false" ht="15.75" hidden="false" customHeight="true" outlineLevel="0" collapsed="false">
      <c r="A27" s="41" t="s">
        <v>61</v>
      </c>
      <c r="C27" s="7" t="n">
        <f aca="false">IFERROR(INDEX(Тарифы!$D$5:$D$30,MATCH(C7,Тарифы!$B$5:$B$30,1)),7200)</f>
        <v>7200</v>
      </c>
      <c r="D27" s="42" t="s">
        <v>26</v>
      </c>
    </row>
    <row r="28" customFormat="false" ht="15.75" hidden="false" customHeight="true" outlineLevel="0" collapsed="false">
      <c r="A28" s="43" t="s">
        <v>62</v>
      </c>
      <c r="C28" s="44" t="n">
        <f aca="false">ROUND(C26/C19+C27/C19-C27,0)</f>
        <v>27187</v>
      </c>
      <c r="D28" s="13" t="s">
        <v>26</v>
      </c>
    </row>
    <row r="29" customFormat="false" ht="3.75" hidden="false" customHeight="true" outlineLevel="0" collapsed="false">
      <c r="A29" s="35"/>
      <c r="B29" s="35"/>
      <c r="C29" s="35"/>
      <c r="D29" s="35"/>
    </row>
    <row r="30" customFormat="false" ht="16.5" hidden="false" customHeight="true" outlineLevel="0" collapsed="false">
      <c r="A30" s="21" t="s">
        <v>63</v>
      </c>
      <c r="B30" s="21"/>
      <c r="C30" s="21"/>
      <c r="D30" s="21"/>
    </row>
    <row r="31" customFormat="false" ht="15.75" hidden="false" customHeight="true" outlineLevel="0" collapsed="false">
      <c r="A31" s="45" t="s">
        <v>64</v>
      </c>
      <c r="C31" s="22" t="n">
        <v>42</v>
      </c>
      <c r="D31" s="9" t="s">
        <v>65</v>
      </c>
    </row>
    <row r="32" customFormat="false" ht="15.75" hidden="false" customHeight="true" outlineLevel="0" collapsed="false">
      <c r="A32" s="45" t="s">
        <v>66</v>
      </c>
      <c r="C32" s="22" t="n">
        <v>30</v>
      </c>
      <c r="D32" s="9" t="s">
        <v>67</v>
      </c>
    </row>
    <row r="33" customFormat="false" ht="15.75" hidden="false" customHeight="true" outlineLevel="0" collapsed="false">
      <c r="A33" s="45" t="s">
        <v>68</v>
      </c>
      <c r="C33" s="46" t="n">
        <f aca="false">ROUND(C7*C31,0)</f>
        <v>1344</v>
      </c>
      <c r="D33" s="47" t="s">
        <v>69</v>
      </c>
    </row>
    <row r="34" customFormat="false" ht="15.75" hidden="false" customHeight="true" outlineLevel="0" collapsed="false">
      <c r="A34" s="48" t="s">
        <v>70</v>
      </c>
      <c r="C34" s="49" t="n">
        <f aca="false">ROUND(C33*C32,0)</f>
        <v>40320</v>
      </c>
      <c r="D34" s="50" t="s">
        <v>26</v>
      </c>
    </row>
    <row r="35" customFormat="false" ht="12.75" hidden="false" customHeight="true" outlineLevel="0" collapsed="false">
      <c r="A35" s="37" t="s">
        <v>71</v>
      </c>
      <c r="B35" s="37"/>
      <c r="C35" s="37"/>
      <c r="D35" s="37"/>
    </row>
    <row r="36" customFormat="false" ht="15.75" hidden="false" customHeight="true" outlineLevel="0" collapsed="false">
      <c r="A36" s="10" t="s">
        <v>72</v>
      </c>
      <c r="C36" s="22" t="n">
        <v>0</v>
      </c>
      <c r="D36" s="9" t="s">
        <v>26</v>
      </c>
    </row>
    <row r="37" customFormat="false" ht="3.75" hidden="false" customHeight="true" outlineLevel="0" collapsed="false">
      <c r="A37" s="35"/>
      <c r="B37" s="35"/>
      <c r="C37" s="35"/>
      <c r="D37" s="35"/>
    </row>
    <row r="38" customFormat="false" ht="16.5" hidden="false" customHeight="true" outlineLevel="0" collapsed="false">
      <c r="A38" s="21" t="s">
        <v>73</v>
      </c>
      <c r="B38" s="21"/>
      <c r="C38" s="21"/>
      <c r="D38" s="21"/>
    </row>
    <row r="39" customFormat="false" ht="15.75" hidden="false" customHeight="true" outlineLevel="0" collapsed="false">
      <c r="A39" s="10" t="s">
        <v>74</v>
      </c>
      <c r="C39" s="11" t="n">
        <f aca="false">ROUND(C11*C16,0)</f>
        <v>180600</v>
      </c>
      <c r="D39" s="12" t="s">
        <v>26</v>
      </c>
    </row>
    <row r="40" customFormat="false" ht="15.75" hidden="false" customHeight="true" outlineLevel="0" collapsed="false">
      <c r="A40" s="10" t="s">
        <v>52</v>
      </c>
      <c r="C40" s="11" t="n">
        <f aca="false">ROUND(C11*C17,0)</f>
        <v>25800</v>
      </c>
      <c r="D40" s="12" t="s">
        <v>26</v>
      </c>
    </row>
    <row r="41" customFormat="false" ht="15.75" hidden="false" customHeight="true" outlineLevel="0" collapsed="false">
      <c r="A41" s="10" t="s">
        <v>75</v>
      </c>
      <c r="C41" s="11" t="n">
        <f aca="false">ROUND(C11*C18,0)</f>
        <v>68800</v>
      </c>
      <c r="D41" s="12" t="s">
        <v>26</v>
      </c>
    </row>
    <row r="42" customFormat="false" ht="15.75" hidden="false" customHeight="true" outlineLevel="0" collapsed="false">
      <c r="A42" s="51" t="s">
        <v>76</v>
      </c>
      <c r="C42" s="52" t="n">
        <f aca="false">C28+C34+C36</f>
        <v>67507</v>
      </c>
      <c r="D42" s="18" t="s">
        <v>26</v>
      </c>
    </row>
    <row r="43" customFormat="false" ht="3" hidden="false" customHeight="true" outlineLevel="0" collapsed="false">
      <c r="A43" s="35"/>
      <c r="B43" s="35"/>
      <c r="C43" s="35"/>
      <c r="D43" s="35"/>
    </row>
    <row r="44" customFormat="false" ht="21.75" hidden="false" customHeight="true" outlineLevel="0" collapsed="false">
      <c r="A44" s="53" t="s">
        <v>77</v>
      </c>
      <c r="C44" s="54" t="n">
        <f aca="false">ROUND(C11-C39-C40-C41-C42,0)</f>
        <v>517293</v>
      </c>
      <c r="D44" s="55" t="s">
        <v>26</v>
      </c>
    </row>
    <row r="45" customFormat="false" ht="3" hidden="false" customHeight="true" outlineLevel="0" collapsed="false">
      <c r="A45" s="35"/>
      <c r="B45" s="35"/>
      <c r="C45" s="35"/>
      <c r="D45" s="35"/>
    </row>
    <row r="46" customFormat="false" ht="15.75" hidden="false" customHeight="true" outlineLevel="0" collapsed="false">
      <c r="A46" s="10" t="s">
        <v>78</v>
      </c>
      <c r="C46" s="24" t="n">
        <v>0.12</v>
      </c>
      <c r="D46" s="9" t="s">
        <v>28</v>
      </c>
    </row>
    <row r="47" customFormat="false" ht="15.75" hidden="false" customHeight="true" outlineLevel="0" collapsed="false">
      <c r="A47" s="56" t="s">
        <v>79</v>
      </c>
      <c r="C47" s="57" t="n">
        <f aca="false">ROUND(C44*C46/(1+C46),0)</f>
        <v>55424</v>
      </c>
      <c r="D47" s="58" t="s">
        <v>26</v>
      </c>
    </row>
    <row r="48" customFormat="false" ht="12.75" hidden="false" customHeight="true" outlineLevel="0" collapsed="false">
      <c r="A48" s="37" t="s">
        <v>80</v>
      </c>
      <c r="B48" s="37"/>
      <c r="C48" s="37"/>
      <c r="D48" s="37"/>
    </row>
    <row r="49" customFormat="false" ht="3" hidden="false" customHeight="true" outlineLevel="0" collapsed="false">
      <c r="A49" s="35"/>
      <c r="B49" s="35"/>
      <c r="C49" s="35"/>
      <c r="D49" s="35"/>
    </row>
    <row r="50" customFormat="false" ht="16.5" hidden="false" customHeight="true" outlineLevel="0" collapsed="false">
      <c r="A50" s="21" t="s">
        <v>81</v>
      </c>
      <c r="B50" s="21"/>
      <c r="C50" s="21"/>
      <c r="D50" s="21"/>
    </row>
    <row r="51" customFormat="false" ht="15.75" hidden="false" customHeight="true" outlineLevel="0" collapsed="false">
      <c r="A51" s="32" t="s">
        <v>82</v>
      </c>
      <c r="C51" s="59" t="n">
        <f aca="false">C44-C47</f>
        <v>461869</v>
      </c>
      <c r="D51" s="34" t="s">
        <v>26</v>
      </c>
    </row>
    <row r="52" customFormat="false" ht="21.75" hidden="false" customHeight="true" outlineLevel="0" collapsed="false">
      <c r="A52" s="53" t="s">
        <v>83</v>
      </c>
      <c r="C52" s="54" t="n">
        <f aca="false">C51-C10</f>
        <v>364569</v>
      </c>
      <c r="D52" s="55" t="s">
        <v>26</v>
      </c>
    </row>
    <row r="53" customFormat="false" ht="15.75" hidden="false" customHeight="true" outlineLevel="0" collapsed="false">
      <c r="A53" s="60" t="s">
        <v>84</v>
      </c>
      <c r="C53" s="61" t="n">
        <f aca="false">IFERROR(C52/C11,0)</f>
        <v>0.423917441860465</v>
      </c>
      <c r="D53" s="62" t="s">
        <v>28</v>
      </c>
    </row>
    <row r="54" customFormat="false" ht="15.75" hidden="false" customHeight="true" outlineLevel="0" collapsed="false">
      <c r="A54" s="60" t="s">
        <v>85</v>
      </c>
      <c r="C54" s="61" t="n">
        <f aca="false">IFERROR(C52/C10,0)</f>
        <v>3.74685508735868</v>
      </c>
      <c r="D54" s="62" t="s">
        <v>28</v>
      </c>
    </row>
    <row r="55" customFormat="false" ht="3.75" hidden="false" customHeight="true" outlineLevel="0" collapsed="false">
      <c r="A55" s="35"/>
      <c r="B55" s="35"/>
      <c r="C55" s="35"/>
      <c r="D55" s="35"/>
    </row>
    <row r="56" customFormat="false" ht="16.5" hidden="false" customHeight="true" outlineLevel="0" collapsed="false">
      <c r="A56" s="21" t="s">
        <v>86</v>
      </c>
      <c r="B56" s="21"/>
      <c r="C56" s="21"/>
      <c r="D56" s="21"/>
    </row>
    <row r="57" customFormat="false" ht="15.75" hidden="false" customHeight="true" outlineLevel="0" collapsed="false">
      <c r="A57" s="10" t="s">
        <v>87</v>
      </c>
      <c r="C57" s="22" t="n">
        <v>100</v>
      </c>
      <c r="D57" s="9" t="s">
        <v>88</v>
      </c>
    </row>
    <row r="58" customFormat="false" ht="15.75" hidden="false" customHeight="true" outlineLevel="0" collapsed="false">
      <c r="A58" s="10" t="s">
        <v>89</v>
      </c>
      <c r="C58" s="6" t="n">
        <f aca="false">C57*C10</f>
        <v>9730000</v>
      </c>
      <c r="D58" s="9" t="s">
        <v>26</v>
      </c>
    </row>
    <row r="59" customFormat="false" ht="15.75" hidden="false" customHeight="true" outlineLevel="0" collapsed="false">
      <c r="A59" s="60" t="s">
        <v>90</v>
      </c>
      <c r="C59" s="63" t="n">
        <f aca="false">C57*C52</f>
        <v>36456900</v>
      </c>
      <c r="D59" s="62" t="s">
        <v>26</v>
      </c>
    </row>
    <row r="60" customFormat="false" ht="15.75" hidden="false" customHeight="true" outlineLevel="0" collapsed="false">
      <c r="A60" s="41" t="s">
        <v>91</v>
      </c>
      <c r="C60" s="7" t="n">
        <f aca="false">C57*C47</f>
        <v>5542400</v>
      </c>
      <c r="D60" s="42" t="s">
        <v>26</v>
      </c>
    </row>
    <row r="61" customFormat="false" ht="6" hidden="false" customHeight="true" outlineLevel="0" collapsed="false">
      <c r="A61" s="35"/>
      <c r="B61" s="35"/>
      <c r="C61" s="35"/>
      <c r="D61" s="35"/>
    </row>
    <row r="62" customFormat="false" ht="19.5" hidden="false" customHeight="true" outlineLevel="0" collapsed="false">
      <c r="A62" s="64" t="s">
        <v>92</v>
      </c>
      <c r="B62" s="64"/>
      <c r="C62" s="64"/>
      <c r="D62" s="64"/>
    </row>
  </sheetData>
  <mergeCells count="25">
    <mergeCell ref="A1:D1"/>
    <mergeCell ref="A2:D2"/>
    <mergeCell ref="A3:D3"/>
    <mergeCell ref="A8:D8"/>
    <mergeCell ref="A9:D9"/>
    <mergeCell ref="A14:D14"/>
    <mergeCell ref="A15:D15"/>
    <mergeCell ref="A20:D20"/>
    <mergeCell ref="A21:D21"/>
    <mergeCell ref="A22:D22"/>
    <mergeCell ref="A23:D23"/>
    <mergeCell ref="A29:D29"/>
    <mergeCell ref="A30:D30"/>
    <mergeCell ref="A35:D35"/>
    <mergeCell ref="A37:D37"/>
    <mergeCell ref="A38:D38"/>
    <mergeCell ref="A43:D43"/>
    <mergeCell ref="A45:D45"/>
    <mergeCell ref="A48:D48"/>
    <mergeCell ref="A49:D49"/>
    <mergeCell ref="A50:D50"/>
    <mergeCell ref="A55:D55"/>
    <mergeCell ref="A56:D56"/>
    <mergeCell ref="A61:D61"/>
    <mergeCell ref="A62:D62"/>
  </mergeCells>
  <conditionalFormatting sqref="C5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2026-06-02T06:34:21Z</dcterms:created>
  <dc:creator>openpyxl</dc:creator>
  <dc:description/>
  <dc:language>en-US</dc:language>
  <cp:lastModifiedBy/>
  <dcterms:modified xsi:type="dcterms:W3CDTF">2026-06-02T06:45:04Z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